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quietfault\apps\networth-tracker\docs\import\"/>
    </mc:Choice>
  </mc:AlternateContent>
  <xr:revisionPtr revIDLastSave="0" documentId="13_ncr:1_{D47ADC02-C801-4878-889E-2CEC7EA18474}" xr6:coauthVersionLast="47" xr6:coauthVersionMax="47" xr10:uidLastSave="{00000000-0000-0000-0000-000000000000}"/>
  <bookViews>
    <workbookView xWindow="13910" yWindow="6330" windowWidth="5630" windowHeight="4330" xr2:uid="{00000000-000D-0000-FFFF-FFFF00000000}"/>
  </bookViews>
  <sheets>
    <sheet name="Как заполнять" sheetId="1" r:id="rId1"/>
    <sheet name="Места" sheetId="2" r:id="rId2"/>
    <sheet name="Срез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2" i="3" l="1"/>
  <c r="DY2" i="3"/>
  <c r="DX2" i="3"/>
  <c r="DW2" i="3"/>
  <c r="DV2" i="3"/>
  <c r="DU2" i="3"/>
  <c r="DT2" i="3"/>
  <c r="DS2" i="3"/>
  <c r="DR2" i="3"/>
  <c r="DQ2" i="3"/>
  <c r="DP2" i="3"/>
  <c r="DO2" i="3"/>
  <c r="DN2" i="3"/>
  <c r="DM2" i="3"/>
  <c r="DL2" i="3"/>
  <c r="DK2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7" i="3" l="1"/>
  <c r="E8" i="3"/>
  <c r="E9" i="3"/>
  <c r="E4" i="3"/>
  <c r="E5" i="3"/>
  <c r="E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quietfault</author>
  </authors>
  <commentList>
    <comment ref="E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В шаблоне здесь формула для образца. В вашем файле нужно число из вашей главной вкладки (значения или ссылка на её итог), а не эта формула: иначе приложение сверит само себя.</t>
        </r>
      </text>
    </comment>
  </commentList>
</comments>
</file>

<file path=xl/sharedStrings.xml><?xml version="1.0" encoding="utf-8"?>
<sst xmlns="http://schemas.openxmlformats.org/spreadsheetml/2006/main" count="83" uniqueCount="54">
  <si>
    <t>Шаблон импорта истории в «Срез»</t>
  </si>
  <si>
    <t>Все числа в этом файле выдуманные — это образец формата, а не данные.</t>
  </si>
  <si>
    <t>Два листа — это договор с приложением. Приложение читает только их.</t>
  </si>
  <si>
    <t>«Места» — справочник: одна строка на каждое место, где лежат или лежали деньги.</t>
  </si>
  <si>
    <t xml:space="preserve">   Место — точное имя, как в заголовке колонки на листе «Срезы».</t>
  </si>
  <si>
    <t xml:space="preserve">   Категория — любой текст. Новая категория появится в приложении сама.</t>
  </si>
  <si>
    <t xml:space="preserve">   Валюта — RUB, USD, EUR или BTC. USDT записывается как USD (один курс).</t>
  </si>
  <si>
    <t xml:space="preserve">   Форма — нал, безнал или «—» для активов и стока.</t>
  </si>
  <si>
    <t>«Срезы» — одна строка на дату, как главная вкладка.</t>
  </si>
  <si>
    <t xml:space="preserve">   Дата — дата среза. Один срез в месяц: две строки в одном месяце приложение отклонит.</t>
  </si>
  <si>
    <t xml:space="preserve">   USDT/RUB — курс USDT на P2P. По нему же пересчитываются USD.</t>
  </si>
  <si>
    <t xml:space="preserve">   EUR/USD — курс евро к доллару (ЕЦБ). Евро в рубли идёт через доллар: EUR/USD × USDT/RUB.</t>
  </si>
  <si>
    <t xml:space="preserve">   BTC/USD — цена биткоина в долларах.</t>
  </si>
  <si>
    <t xml:space="preserve">   Итог ₽ — итог по вашему Excel. Приложение посчитает свой и покажет строки, где они разошлись.</t>
  </si>
  <si>
    <t>В «Итог ₽» — число из вашей главной вкладки (Специальная вставка → Значения) или ссылка на её итог. Формулу шаблона не оставляйте: иначе приложение сверит само себя и любая ошибка переноса покажет «сошлось».</t>
  </si>
  <si>
    <t xml:space="preserve">   Дальше — колонки мест (до ~120, закрытые тоже считаются), в валюте места. Новое место — новая колонка справа</t>
  </si>
  <si>
    <t xml:space="preserve">   плюс строка на листе «Места». Место закрылось — ставьте 0, колонку не удаляйте.</t>
  </si>
  <si>
    <t>Строка 2 на «Срезах» серая — она считается сама и показывает валюту колонки.</t>
  </si>
  <si>
    <t>Знак «?» в ней значит, что имени колонки нет в «Местах».</t>
  </si>
  <si>
    <t>Пересчёт в рубли:</t>
  </si>
  <si>
    <t xml:space="preserve">   RUB × 1 · USD × USDT/RUB · EUR × EUR/USD × USDT/RUB · BTC × BTC/USD × USDT/RUB</t>
  </si>
  <si>
    <t>Цвета: синий текст на жёлтом — то, что вы вводите; чёрный — формулы.</t>
  </si>
  <si>
    <t>Место</t>
  </si>
  <si>
    <t>Категория</t>
  </si>
  <si>
    <t>Валюта</t>
  </si>
  <si>
    <t>Форма</t>
  </si>
  <si>
    <t>Сбер</t>
  </si>
  <si>
    <t>Банки</t>
  </si>
  <si>
    <t>RUB</t>
  </si>
  <si>
    <t>безнал</t>
  </si>
  <si>
    <t>Тинькофф</t>
  </si>
  <si>
    <t>Тинькофф USD</t>
  </si>
  <si>
    <t>USD</t>
  </si>
  <si>
    <t>Альфа</t>
  </si>
  <si>
    <t>Налик ₽</t>
  </si>
  <si>
    <t>Наличные</t>
  </si>
  <si>
    <t>нал</t>
  </si>
  <si>
    <t>Налик $</t>
  </si>
  <si>
    <t>Налик €</t>
  </si>
  <si>
    <t>EUR</t>
  </si>
  <si>
    <t>Крипта</t>
  </si>
  <si>
    <t>BTC</t>
  </si>
  <si>
    <t>Машиноместо</t>
  </si>
  <si>
    <t>Активы</t>
  </si>
  <si>
    <t>—</t>
  </si>
  <si>
    <t>Кроссовки</t>
  </si>
  <si>
    <t>Сток</t>
  </si>
  <si>
    <t>Срезы — одна строка на дату</t>
  </si>
  <si>
    <t>валюта →</t>
  </si>
  <si>
    <t>Дата</t>
  </si>
  <si>
    <t>USDT/RUB</t>
  </si>
  <si>
    <t>EUR/USD</t>
  </si>
  <si>
    <t>BTC/USD</t>
  </si>
  <si>
    <t>Итог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</si>
</sst>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#,##0&quot; ₽&quot;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808080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5" fillId="3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4" fontId="5" fillId="3" borderId="0" xfId="0" applyNumberFormat="1" applyFont="1" applyFill="1"/>
    <xf numFmtId="4" fontId="5" fillId="3" borderId="0" xfId="0" applyNumberFormat="1" applyFont="1" applyFill="1"/>
    <xf numFmtId="165" fontId="5" fillId="3" borderId="0" xfId="0" applyNumberFormat="1" applyFont="1" applyFill="1"/>
    <xf numFmtId="3" fontId="5" fillId="3" borderId="0" xfId="0" applyNumberFormat="1" applyFont="1" applyFill="1"/>
    <xf numFmtId="166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4.5" x14ac:dyDescent="0.35"/>
  <cols>
    <col min="1" max="1" width="110" customWidth="1"/>
  </cols>
  <sheetData>
    <row r="1" spans="1:1" ht="16.5" x14ac:dyDescent="0.35">
      <c r="A1" s="1" t="s">
        <v>0</v>
      </c>
    </row>
    <row r="2" spans="1:1" x14ac:dyDescent="0.35">
      <c r="A2" s="2" t="s">
        <v>1</v>
      </c>
    </row>
    <row r="4" spans="1:1" x14ac:dyDescent="0.35">
      <c r="A4" s="3" t="s">
        <v>2</v>
      </c>
    </row>
    <row r="6" spans="1:1" x14ac:dyDescent="0.35">
      <c r="A6" s="4" t="s">
        <v>3</v>
      </c>
    </row>
    <row r="7" spans="1:1" x14ac:dyDescent="0.35">
      <c r="A7" s="4" t="s">
        <v>4</v>
      </c>
    </row>
    <row r="8" spans="1:1" x14ac:dyDescent="0.35">
      <c r="A8" s="4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2" spans="1:1" x14ac:dyDescent="0.35">
      <c r="A12" s="4" t="s">
        <v>8</v>
      </c>
    </row>
    <row r="13" spans="1:1" x14ac:dyDescent="0.35">
      <c r="A13" s="4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 t="s">
        <v>12</v>
      </c>
    </row>
    <row r="17" spans="1:1" x14ac:dyDescent="0.35">
      <c r="A17" s="4" t="s">
        <v>13</v>
      </c>
    </row>
    <row r="18" spans="1:1" x14ac:dyDescent="0.35">
      <c r="A18" s="3" t="s">
        <v>14</v>
      </c>
    </row>
    <row r="19" spans="1:1" x14ac:dyDescent="0.35">
      <c r="A19" s="4" t="s">
        <v>15</v>
      </c>
    </row>
    <row r="20" spans="1:1" x14ac:dyDescent="0.35">
      <c r="A20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5" spans="1:1" x14ac:dyDescent="0.35">
      <c r="A25" s="3" t="s">
        <v>19</v>
      </c>
    </row>
    <row r="26" spans="1:1" x14ac:dyDescent="0.35">
      <c r="A26" s="4" t="s">
        <v>20</v>
      </c>
    </row>
    <row r="28" spans="1:1" x14ac:dyDescent="0.35">
      <c r="A28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8" customWidth="1"/>
    <col min="3" max="4" width="10" customWidth="1"/>
  </cols>
  <sheetData>
    <row r="1" spans="1:4" x14ac:dyDescent="0.3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35">
      <c r="A2" s="6" t="s">
        <v>26</v>
      </c>
      <c r="B2" s="6" t="s">
        <v>27</v>
      </c>
      <c r="C2" s="6" t="s">
        <v>28</v>
      </c>
      <c r="D2" s="6" t="s">
        <v>29</v>
      </c>
    </row>
    <row r="3" spans="1:4" x14ac:dyDescent="0.35">
      <c r="A3" s="6" t="s">
        <v>30</v>
      </c>
      <c r="B3" s="6" t="s">
        <v>27</v>
      </c>
      <c r="C3" s="6" t="s">
        <v>28</v>
      </c>
      <c r="D3" s="6" t="s">
        <v>29</v>
      </c>
    </row>
    <row r="4" spans="1:4" x14ac:dyDescent="0.35">
      <c r="A4" s="6" t="s">
        <v>31</v>
      </c>
      <c r="B4" s="6" t="s">
        <v>27</v>
      </c>
      <c r="C4" s="6" t="s">
        <v>32</v>
      </c>
      <c r="D4" s="6" t="s">
        <v>29</v>
      </c>
    </row>
    <row r="5" spans="1:4" x14ac:dyDescent="0.35">
      <c r="A5" s="6" t="s">
        <v>33</v>
      </c>
      <c r="B5" s="6" t="s">
        <v>27</v>
      </c>
      <c r="C5" s="6" t="s">
        <v>28</v>
      </c>
      <c r="D5" s="6" t="s">
        <v>29</v>
      </c>
    </row>
    <row r="6" spans="1:4" x14ac:dyDescent="0.35">
      <c r="A6" s="6" t="s">
        <v>34</v>
      </c>
      <c r="B6" s="6" t="s">
        <v>35</v>
      </c>
      <c r="C6" s="6" t="s">
        <v>28</v>
      </c>
      <c r="D6" s="6" t="s">
        <v>36</v>
      </c>
    </row>
    <row r="7" spans="1:4" x14ac:dyDescent="0.35">
      <c r="A7" s="6" t="s">
        <v>37</v>
      </c>
      <c r="B7" s="6" t="s">
        <v>35</v>
      </c>
      <c r="C7" s="6" t="s">
        <v>32</v>
      </c>
      <c r="D7" s="6" t="s">
        <v>36</v>
      </c>
    </row>
    <row r="8" spans="1:4" x14ac:dyDescent="0.35">
      <c r="A8" s="6" t="s">
        <v>38</v>
      </c>
      <c r="B8" s="6" t="s">
        <v>35</v>
      </c>
      <c r="C8" s="6" t="s">
        <v>39</v>
      </c>
      <c r="D8" s="6" t="s">
        <v>36</v>
      </c>
    </row>
    <row r="9" spans="1:4" x14ac:dyDescent="0.35">
      <c r="A9" s="6" t="s">
        <v>40</v>
      </c>
      <c r="B9" s="6" t="s">
        <v>40</v>
      </c>
      <c r="C9" s="6" t="s">
        <v>41</v>
      </c>
      <c r="D9" s="6" t="s">
        <v>29</v>
      </c>
    </row>
    <row r="10" spans="1:4" x14ac:dyDescent="0.35">
      <c r="A10" s="6" t="s">
        <v>42</v>
      </c>
      <c r="B10" s="6" t="s">
        <v>43</v>
      </c>
      <c r="C10" s="6" t="s">
        <v>28</v>
      </c>
      <c r="D10" s="6" t="s">
        <v>44</v>
      </c>
    </row>
    <row r="11" spans="1:4" x14ac:dyDescent="0.35">
      <c r="A11" s="6" t="s">
        <v>45</v>
      </c>
      <c r="B11" s="6" t="s">
        <v>46</v>
      </c>
      <c r="C11" s="6" t="s">
        <v>28</v>
      </c>
      <c r="D11" s="6" t="s">
        <v>44</v>
      </c>
    </row>
  </sheetData>
  <dataValidations count="2">
    <dataValidation type="list" allowBlank="1" sqref="C2:C200" xr:uid="{00000000-0002-0000-0100-000000000000}">
      <formula1>"RUB,USD,EUR,BTC"</formula1>
    </dataValidation>
    <dataValidation type="list" allowBlank="1" sqref="D2:D200" xr:uid="{00000000-0002-0000-0100-000001000000}">
      <formula1>"нал,безнал,—"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Z9"/>
  <sheetViews>
    <sheetView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4" width="11" customWidth="1"/>
    <col min="5" max="5" width="16" customWidth="1"/>
    <col min="6" max="15" width="13" customWidth="1"/>
  </cols>
  <sheetData>
    <row r="1" spans="1:130" ht="16.5" x14ac:dyDescent="0.35">
      <c r="A1" s="1" t="s">
        <v>47</v>
      </c>
    </row>
    <row r="2" spans="1:130" x14ac:dyDescent="0.35">
      <c r="E2" s="7" t="s">
        <v>48</v>
      </c>
      <c r="F2" s="8" t="str">
        <f>IF(F$3="","",IFERROR(INDEX(Места!$C:$C,MATCH(F$3,Места!$A:$A,0)),"?"))</f>
        <v>RUB</v>
      </c>
      <c r="G2" s="8" t="str">
        <f>IF(G$3="","",IFERROR(INDEX(Места!$C:$C,MATCH(G$3,Места!$A:$A,0)),"?"))</f>
        <v>RUB</v>
      </c>
      <c r="H2" s="8" t="str">
        <f>IF(H$3="","",IFERROR(INDEX(Места!$C:$C,MATCH(H$3,Места!$A:$A,0)),"?"))</f>
        <v>USD</v>
      </c>
      <c r="I2" s="8" t="str">
        <f>IF(I$3="","",IFERROR(INDEX(Места!$C:$C,MATCH(I$3,Места!$A:$A,0)),"?"))</f>
        <v>RUB</v>
      </c>
      <c r="J2" s="8" t="str">
        <f>IF(J$3="","",IFERROR(INDEX(Места!$C:$C,MATCH(J$3,Места!$A:$A,0)),"?"))</f>
        <v>RUB</v>
      </c>
      <c r="K2" s="8" t="str">
        <f>IF(K$3="","",IFERROR(INDEX(Места!$C:$C,MATCH(K$3,Места!$A:$A,0)),"?"))</f>
        <v>USD</v>
      </c>
      <c r="L2" s="8" t="str">
        <f>IF(L$3="","",IFERROR(INDEX(Места!$C:$C,MATCH(L$3,Места!$A:$A,0)),"?"))</f>
        <v>EUR</v>
      </c>
      <c r="M2" s="8" t="str">
        <f>IF(M$3="","",IFERROR(INDEX(Места!$C:$C,MATCH(M$3,Места!$A:$A,0)),"?"))</f>
        <v>BTC</v>
      </c>
      <c r="N2" s="8" t="str">
        <f>IF(N$3="","",IFERROR(INDEX(Места!$C:$C,MATCH(N$3,Места!$A:$A,0)),"?"))</f>
        <v>RUB</v>
      </c>
      <c r="O2" s="8" t="str">
        <f>IF(O$3="","",IFERROR(INDEX(Места!$C:$C,MATCH(O$3,Места!$A:$A,0)),"?"))</f>
        <v>RUB</v>
      </c>
      <c r="P2" s="8" t="str">
        <f>IF(P$3="","",IFERROR(INDEX(Места!$C:$C,MATCH(P$3,Места!$A:$A,0)),"?"))</f>
        <v/>
      </c>
      <c r="Q2" s="8" t="str">
        <f>IF(Q$3="","",IFERROR(INDEX(Места!$C:$C,MATCH(Q$3,Места!$A:$A,0)),"?"))</f>
        <v/>
      </c>
      <c r="R2" s="8" t="str">
        <f>IF(R$3="","",IFERROR(INDEX(Места!$C:$C,MATCH(R$3,Места!$A:$A,0)),"?"))</f>
        <v/>
      </c>
      <c r="S2" s="8" t="str">
        <f>IF(S$3="","",IFERROR(INDEX(Места!$C:$C,MATCH(S$3,Места!$A:$A,0)),"?"))</f>
        <v/>
      </c>
      <c r="T2" s="8" t="str">
        <f>IF(T$3="","",IFERROR(INDEX(Места!$C:$C,MATCH(T$3,Места!$A:$A,0)),"?"))</f>
        <v/>
      </c>
      <c r="U2" s="8" t="str">
        <f>IF(U$3="","",IFERROR(INDEX(Места!$C:$C,MATCH(U$3,Места!$A:$A,0)),"?"))</f>
        <v/>
      </c>
      <c r="V2" s="8" t="str">
        <f>IF(V$3="","",IFERROR(INDEX(Места!$C:$C,MATCH(V$3,Места!$A:$A,0)),"?"))</f>
        <v/>
      </c>
      <c r="W2" s="8" t="str">
        <f>IF(W$3="","",IFERROR(INDEX(Места!$C:$C,MATCH(W$3,Места!$A:$A,0)),"?"))</f>
        <v/>
      </c>
      <c r="X2" s="8" t="str">
        <f>IF(X$3="","",IFERROR(INDEX(Места!$C:$C,MATCH(X$3,Места!$A:$A,0)),"?"))</f>
        <v/>
      </c>
      <c r="Y2" s="8" t="str">
        <f>IF(Y$3="","",IFERROR(INDEX(Места!$C:$C,MATCH(Y$3,Места!$A:$A,0)),"?"))</f>
        <v/>
      </c>
      <c r="Z2" s="8" t="str">
        <f>IF(Z$3="","",IFERROR(INDEX(Места!$C:$C,MATCH(Z$3,Места!$A:$A,0)),"?"))</f>
        <v/>
      </c>
      <c r="AA2" s="8" t="str">
        <f>IF(AA$3="","",IFERROR(INDEX(Места!$C:$C,MATCH(AA$3,Места!$A:$A,0)),"?"))</f>
        <v/>
      </c>
      <c r="AB2" s="8" t="str">
        <f>IF(AB$3="","",IFERROR(INDEX(Места!$C:$C,MATCH(AB$3,Места!$A:$A,0)),"?"))</f>
        <v/>
      </c>
      <c r="AC2" s="8" t="str">
        <f>IF(AC$3="","",IFERROR(INDEX(Места!$C:$C,MATCH(AC$3,Места!$A:$A,0)),"?"))</f>
        <v/>
      </c>
      <c r="AD2" s="8" t="str">
        <f>IF(AD$3="","",IFERROR(INDEX(Места!$C:$C,MATCH(AD$3,Места!$A:$A,0)),"?"))</f>
        <v/>
      </c>
      <c r="AE2" s="8" t="str">
        <f>IF(AE$3="","",IFERROR(INDEX(Места!$C:$C,MATCH(AE$3,Места!$A:$A,0)),"?"))</f>
        <v/>
      </c>
      <c r="AF2" s="8" t="str">
        <f>IF(AF$3="","",IFERROR(INDEX(Места!$C:$C,MATCH(AF$3,Места!$A:$A,0)),"?"))</f>
        <v/>
      </c>
      <c r="AG2" s="8" t="str">
        <f>IF(AG$3="","",IFERROR(INDEX(Места!$C:$C,MATCH(AG$3,Места!$A:$A,0)),"?"))</f>
        <v/>
      </c>
      <c r="AH2" s="8" t="str">
        <f>IF(AH$3="","",IFERROR(INDEX(Места!$C:$C,MATCH(AH$3,Места!$A:$A,0)),"?"))</f>
        <v/>
      </c>
      <c r="AI2" s="8" t="str">
        <f>IF(AI$3="","",IFERROR(INDEX(Места!$C:$C,MATCH(AI$3,Места!$A:$A,0)),"?"))</f>
        <v/>
      </c>
      <c r="AJ2" s="8" t="str">
        <f>IF(AJ$3="","",IFERROR(INDEX(Места!$C:$C,MATCH(AJ$3,Места!$A:$A,0)),"?"))</f>
        <v/>
      </c>
      <c r="AK2" s="8" t="str">
        <f>IF(AK$3="","",IFERROR(INDEX(Места!$C:$C,MATCH(AK$3,Места!$A:$A,0)),"?"))</f>
        <v/>
      </c>
      <c r="AL2" s="8" t="str">
        <f>IF(AL$3="","",IFERROR(INDEX(Места!$C:$C,MATCH(AL$3,Места!$A:$A,0)),"?"))</f>
        <v/>
      </c>
      <c r="AM2" s="8" t="str">
        <f>IF(AM$3="","",IFERROR(INDEX(Места!$C:$C,MATCH(AM$3,Места!$A:$A,0)),"?"))</f>
        <v/>
      </c>
      <c r="AN2" s="8" t="str">
        <f>IF(AN$3="","",IFERROR(INDEX(Места!$C:$C,MATCH(AN$3,Места!$A:$A,0)),"?"))</f>
        <v/>
      </c>
      <c r="AO2" s="8" t="str">
        <f>IF(AO$3="","",IFERROR(INDEX(Места!$C:$C,MATCH(AO$3,Места!$A:$A,0)),"?"))</f>
        <v/>
      </c>
      <c r="AP2" s="8" t="str">
        <f>IF(AP$3="","",IFERROR(INDEX(Места!$C:$C,MATCH(AP$3,Места!$A:$A,0)),"?"))</f>
        <v/>
      </c>
      <c r="AQ2" s="8" t="str">
        <f>IF(AQ$3="","",IFERROR(INDEX(Места!$C:$C,MATCH(AQ$3,Места!$A:$A,0)),"?"))</f>
        <v/>
      </c>
      <c r="AR2" s="8" t="str">
        <f>IF(AR$3="","",IFERROR(INDEX(Места!$C:$C,MATCH(AR$3,Места!$A:$A,0)),"?"))</f>
        <v/>
      </c>
      <c r="AS2" s="8" t="str">
        <f>IF(AS$3="","",IFERROR(INDEX(Места!$C:$C,MATCH(AS$3,Места!$A:$A,0)),"?"))</f>
        <v/>
      </c>
      <c r="AT2" s="8" t="str">
        <f>IF(AT$3="","",IFERROR(INDEX(Места!$C:$C,MATCH(AT$3,Места!$A:$A,0)),"?"))</f>
        <v/>
      </c>
      <c r="AU2" s="8" t="str">
        <f>IF(AU$3="","",IFERROR(INDEX(Места!$C:$C,MATCH(AU$3,Места!$A:$A,0)),"?"))</f>
        <v/>
      </c>
      <c r="AV2" s="8" t="str">
        <f>IF(AV$3="","",IFERROR(INDEX(Места!$C:$C,MATCH(AV$3,Места!$A:$A,0)),"?"))</f>
        <v/>
      </c>
      <c r="AW2" s="8" t="str">
        <f>IF(AW$3="","",IFERROR(INDEX(Места!$C:$C,MATCH(AW$3,Места!$A:$A,0)),"?"))</f>
        <v/>
      </c>
      <c r="AX2" s="8" t="str">
        <f>IF(AX$3="","",IFERROR(INDEX(Места!$C:$C,MATCH(AX$3,Места!$A:$A,0)),"?"))</f>
        <v/>
      </c>
      <c r="AY2" s="8" t="str">
        <f>IF(AY$3="","",IFERROR(INDEX(Места!$C:$C,MATCH(AY$3,Места!$A:$A,0)),"?"))</f>
        <v/>
      </c>
      <c r="AZ2" s="8" t="str">
        <f>IF(AZ$3="","",IFERROR(INDEX(Места!$C:$C,MATCH(AZ$3,Места!$A:$A,0)),"?"))</f>
        <v/>
      </c>
      <c r="BA2" s="8" t="str">
        <f>IF(BA$3="","",IFERROR(INDEX(Места!$C:$C,MATCH(BA$3,Места!$A:$A,0)),"?"))</f>
        <v/>
      </c>
      <c r="BB2" s="8" t="str">
        <f>IF(BB$3="","",IFERROR(INDEX(Места!$C:$C,MATCH(BB$3,Места!$A:$A,0)),"?"))</f>
        <v/>
      </c>
      <c r="BC2" s="8" t="str">
        <f>IF(BC$3="","",IFERROR(INDEX(Места!$C:$C,MATCH(BC$3,Места!$A:$A,0)),"?"))</f>
        <v/>
      </c>
      <c r="BD2" s="8" t="str">
        <f>IF(BD$3="","",IFERROR(INDEX(Места!$C:$C,MATCH(BD$3,Места!$A:$A,0)),"?"))</f>
        <v/>
      </c>
      <c r="BE2" s="8" t="str">
        <f>IF(BE$3="","",IFERROR(INDEX(Места!$C:$C,MATCH(BE$3,Места!$A:$A,0)),"?"))</f>
        <v/>
      </c>
      <c r="BF2" s="8" t="str">
        <f>IF(BF$3="","",IFERROR(INDEX(Места!$C:$C,MATCH(BF$3,Места!$A:$A,0)),"?"))</f>
        <v/>
      </c>
      <c r="BG2" s="8" t="str">
        <f>IF(BG$3="","",IFERROR(INDEX(Места!$C:$C,MATCH(BG$3,Места!$A:$A,0)),"?"))</f>
        <v/>
      </c>
      <c r="BH2" s="8" t="str">
        <f>IF(BH$3="","",IFERROR(INDEX(Места!$C:$C,MATCH(BH$3,Места!$A:$A,0)),"?"))</f>
        <v/>
      </c>
      <c r="BI2" s="8" t="str">
        <f>IF(BI$3="","",IFERROR(INDEX(Места!$C:$C,MATCH(BI$3,Места!$A:$A,0)),"?"))</f>
        <v/>
      </c>
      <c r="BJ2" s="8" t="str">
        <f>IF(BJ$3="","",IFERROR(INDEX(Места!$C:$C,MATCH(BJ$3,Места!$A:$A,0)),"?"))</f>
        <v/>
      </c>
      <c r="BK2" s="8" t="str">
        <f>IF(BK$3="","",IFERROR(INDEX(Места!$C:$C,MATCH(BK$3,Места!$A:$A,0)),"?"))</f>
        <v/>
      </c>
      <c r="BL2" s="8" t="str">
        <f>IF(BL$3="","",IFERROR(INDEX(Места!$C:$C,MATCH(BL$3,Места!$A:$A,0)),"?"))</f>
        <v/>
      </c>
      <c r="BM2" s="8" t="str">
        <f>IF(BM$3="","",IFERROR(INDEX(Места!$C:$C,MATCH(BM$3,Места!$A:$A,0)),"?"))</f>
        <v/>
      </c>
      <c r="BN2" s="8" t="str">
        <f>IF(BN$3="","",IFERROR(INDEX(Места!$C:$C,MATCH(BN$3,Места!$A:$A,0)),"?"))</f>
        <v/>
      </c>
      <c r="BO2" s="8" t="str">
        <f>IF(BO$3="","",IFERROR(INDEX(Места!$C:$C,MATCH(BO$3,Места!$A:$A,0)),"?"))</f>
        <v/>
      </c>
      <c r="BP2" s="8" t="str">
        <f>IF(BP$3="","",IFERROR(INDEX(Места!$C:$C,MATCH(BP$3,Места!$A:$A,0)),"?"))</f>
        <v/>
      </c>
      <c r="BQ2" s="8" t="str">
        <f>IF(BQ$3="","",IFERROR(INDEX(Места!$C:$C,MATCH(BQ$3,Места!$A:$A,0)),"?"))</f>
        <v/>
      </c>
      <c r="BR2" s="8" t="str">
        <f>IF(BR$3="","",IFERROR(INDEX(Места!$C:$C,MATCH(BR$3,Места!$A:$A,0)),"?"))</f>
        <v/>
      </c>
      <c r="BS2" s="8" t="str">
        <f>IF(BS$3="","",IFERROR(INDEX(Места!$C:$C,MATCH(BS$3,Места!$A:$A,0)),"?"))</f>
        <v/>
      </c>
      <c r="BT2" s="8" t="str">
        <f>IF(BT$3="","",IFERROR(INDEX(Места!$C:$C,MATCH(BT$3,Места!$A:$A,0)),"?"))</f>
        <v/>
      </c>
      <c r="BU2" s="8" t="str">
        <f>IF(BU$3="","",IFERROR(INDEX(Места!$C:$C,MATCH(BU$3,Места!$A:$A,0)),"?"))</f>
        <v/>
      </c>
      <c r="BV2" s="8" t="str">
        <f>IF(BV$3="","",IFERROR(INDEX(Места!$C:$C,MATCH(BV$3,Места!$A:$A,0)),"?"))</f>
        <v/>
      </c>
      <c r="BW2" s="8" t="str">
        <f>IF(BW$3="","",IFERROR(INDEX(Места!$C:$C,MATCH(BW$3,Места!$A:$A,0)),"?"))</f>
        <v/>
      </c>
      <c r="BX2" s="8" t="str">
        <f>IF(BX$3="","",IFERROR(INDEX(Места!$C:$C,MATCH(BX$3,Места!$A:$A,0)),"?"))</f>
        <v/>
      </c>
      <c r="BY2" s="8" t="str">
        <f>IF(BY$3="","",IFERROR(INDEX(Места!$C:$C,MATCH(BY$3,Места!$A:$A,0)),"?"))</f>
        <v/>
      </c>
      <c r="BZ2" s="8" t="str">
        <f>IF(BZ$3="","",IFERROR(INDEX(Места!$C:$C,MATCH(BZ$3,Места!$A:$A,0)),"?"))</f>
        <v/>
      </c>
      <c r="CA2" s="8" t="str">
        <f>IF(CA$3="","",IFERROR(INDEX(Места!$C:$C,MATCH(CA$3,Места!$A:$A,0)),"?"))</f>
        <v/>
      </c>
      <c r="CB2" s="8" t="str">
        <f>IF(CB$3="","",IFERROR(INDEX(Места!$C:$C,MATCH(CB$3,Места!$A:$A,0)),"?"))</f>
        <v/>
      </c>
      <c r="CC2" s="8" t="str">
        <f>IF(CC$3="","",IFERROR(INDEX(Места!$C:$C,MATCH(CC$3,Места!$A:$A,0)),"?"))</f>
        <v/>
      </c>
      <c r="CD2" s="8" t="str">
        <f>IF(CD$3="","",IFERROR(INDEX(Места!$C:$C,MATCH(CD$3,Места!$A:$A,0)),"?"))</f>
        <v/>
      </c>
      <c r="CE2" s="8" t="str">
        <f>IF(CE$3="","",IFERROR(INDEX(Места!$C:$C,MATCH(CE$3,Места!$A:$A,0)),"?"))</f>
        <v/>
      </c>
      <c r="CF2" s="8" t="str">
        <f>IF(CF$3="","",IFERROR(INDEX(Места!$C:$C,MATCH(CF$3,Места!$A:$A,0)),"?"))</f>
        <v/>
      </c>
      <c r="CG2" s="8" t="str">
        <f>IF(CG$3="","",IFERROR(INDEX(Места!$C:$C,MATCH(CG$3,Места!$A:$A,0)),"?"))</f>
        <v/>
      </c>
      <c r="CH2" s="8" t="str">
        <f>IF(CH$3="","",IFERROR(INDEX(Места!$C:$C,MATCH(CH$3,Места!$A:$A,0)),"?"))</f>
        <v/>
      </c>
      <c r="CI2" s="8" t="str">
        <f>IF(CI$3="","",IFERROR(INDEX(Места!$C:$C,MATCH(CI$3,Места!$A:$A,0)),"?"))</f>
        <v/>
      </c>
      <c r="CJ2" s="8" t="str">
        <f>IF(CJ$3="","",IFERROR(INDEX(Места!$C:$C,MATCH(CJ$3,Места!$A:$A,0)),"?"))</f>
        <v/>
      </c>
      <c r="CK2" s="8" t="str">
        <f>IF(CK$3="","",IFERROR(INDEX(Места!$C:$C,MATCH(CK$3,Места!$A:$A,0)),"?"))</f>
        <v/>
      </c>
      <c r="CL2" s="8" t="str">
        <f>IF(CL$3="","",IFERROR(INDEX(Места!$C:$C,MATCH(CL$3,Места!$A:$A,0)),"?"))</f>
        <v/>
      </c>
      <c r="CM2" s="8" t="str">
        <f>IF(CM$3="","",IFERROR(INDEX(Места!$C:$C,MATCH(CM$3,Места!$A:$A,0)),"?"))</f>
        <v/>
      </c>
      <c r="CN2" s="8" t="str">
        <f>IF(CN$3="","",IFERROR(INDEX(Места!$C:$C,MATCH(CN$3,Места!$A:$A,0)),"?"))</f>
        <v/>
      </c>
      <c r="CO2" s="8" t="str">
        <f>IF(CO$3="","",IFERROR(INDEX(Места!$C:$C,MATCH(CO$3,Места!$A:$A,0)),"?"))</f>
        <v/>
      </c>
      <c r="CP2" s="8" t="str">
        <f>IF(CP$3="","",IFERROR(INDEX(Места!$C:$C,MATCH(CP$3,Места!$A:$A,0)),"?"))</f>
        <v/>
      </c>
      <c r="CQ2" s="8" t="str">
        <f>IF(CQ$3="","",IFERROR(INDEX(Места!$C:$C,MATCH(CQ$3,Места!$A:$A,0)),"?"))</f>
        <v/>
      </c>
      <c r="CR2" s="8" t="str">
        <f>IF(CR$3="","",IFERROR(INDEX(Места!$C:$C,MATCH(CR$3,Места!$A:$A,0)),"?"))</f>
        <v/>
      </c>
      <c r="CS2" s="8" t="str">
        <f>IF(CS$3="","",IFERROR(INDEX(Места!$C:$C,MATCH(CS$3,Места!$A:$A,0)),"?"))</f>
        <v/>
      </c>
      <c r="CT2" s="8" t="str">
        <f>IF(CT$3="","",IFERROR(INDEX(Места!$C:$C,MATCH(CT$3,Места!$A:$A,0)),"?"))</f>
        <v/>
      </c>
      <c r="CU2" s="8" t="str">
        <f>IF(CU$3="","",IFERROR(INDEX(Места!$C:$C,MATCH(CU$3,Места!$A:$A,0)),"?"))</f>
        <v/>
      </c>
      <c r="CV2" s="8" t="str">
        <f>IF(CV$3="","",IFERROR(INDEX(Места!$C:$C,MATCH(CV$3,Места!$A:$A,0)),"?"))</f>
        <v/>
      </c>
      <c r="CW2" s="8" t="str">
        <f>IF(CW$3="","",IFERROR(INDEX(Места!$C:$C,MATCH(CW$3,Места!$A:$A,0)),"?"))</f>
        <v/>
      </c>
      <c r="CX2" s="8" t="str">
        <f>IF(CX$3="","",IFERROR(INDEX(Места!$C:$C,MATCH(CX$3,Места!$A:$A,0)),"?"))</f>
        <v/>
      </c>
      <c r="CY2" s="8" t="str">
        <f>IF(CY$3="","",IFERROR(INDEX(Места!$C:$C,MATCH(CY$3,Места!$A:$A,0)),"?"))</f>
        <v/>
      </c>
      <c r="CZ2" s="8" t="str">
        <f>IF(CZ$3="","",IFERROR(INDEX(Места!$C:$C,MATCH(CZ$3,Места!$A:$A,0)),"?"))</f>
        <v/>
      </c>
      <c r="DA2" s="8" t="str">
        <f>IF(DA$3="","",IFERROR(INDEX(Места!$C:$C,MATCH(DA$3,Места!$A:$A,0)),"?"))</f>
        <v/>
      </c>
      <c r="DB2" s="8" t="str">
        <f>IF(DB$3="","",IFERROR(INDEX(Места!$C:$C,MATCH(DB$3,Места!$A:$A,0)),"?"))</f>
        <v/>
      </c>
      <c r="DC2" s="8" t="str">
        <f>IF(DC$3="","",IFERROR(INDEX(Места!$C:$C,MATCH(DC$3,Места!$A:$A,0)),"?"))</f>
        <v/>
      </c>
      <c r="DD2" s="8" t="str">
        <f>IF(DD$3="","",IFERROR(INDEX(Места!$C:$C,MATCH(DD$3,Места!$A:$A,0)),"?"))</f>
        <v/>
      </c>
      <c r="DE2" s="8" t="str">
        <f>IF(DE$3="","",IFERROR(INDEX(Места!$C:$C,MATCH(DE$3,Места!$A:$A,0)),"?"))</f>
        <v/>
      </c>
      <c r="DF2" s="8" t="str">
        <f>IF(DF$3="","",IFERROR(INDEX(Места!$C:$C,MATCH(DF$3,Места!$A:$A,0)),"?"))</f>
        <v/>
      </c>
      <c r="DG2" s="8" t="str">
        <f>IF(DG$3="","",IFERROR(INDEX(Места!$C:$C,MATCH(DG$3,Места!$A:$A,0)),"?"))</f>
        <v/>
      </c>
      <c r="DH2" s="8" t="str">
        <f>IF(DH$3="","",IFERROR(INDEX(Места!$C:$C,MATCH(DH$3,Места!$A:$A,0)),"?"))</f>
        <v/>
      </c>
      <c r="DI2" s="8" t="str">
        <f>IF(DI$3="","",IFERROR(INDEX(Места!$C:$C,MATCH(DI$3,Места!$A:$A,0)),"?"))</f>
        <v/>
      </c>
      <c r="DJ2" s="8" t="str">
        <f>IF(DJ$3="","",IFERROR(INDEX(Места!$C:$C,MATCH(DJ$3,Места!$A:$A,0)),"?"))</f>
        <v/>
      </c>
      <c r="DK2" s="8" t="str">
        <f>IF(DK$3="","",IFERROR(INDEX(Места!$C:$C,MATCH(DK$3,Места!$A:$A,0)),"?"))</f>
        <v/>
      </c>
      <c r="DL2" s="8" t="str">
        <f>IF(DL$3="","",IFERROR(INDEX(Места!$C:$C,MATCH(DL$3,Места!$A:$A,0)),"?"))</f>
        <v/>
      </c>
      <c r="DM2" s="8" t="str">
        <f>IF(DM$3="","",IFERROR(INDEX(Места!$C:$C,MATCH(DM$3,Места!$A:$A,0)),"?"))</f>
        <v/>
      </c>
      <c r="DN2" s="8" t="str">
        <f>IF(DN$3="","",IFERROR(INDEX(Места!$C:$C,MATCH(DN$3,Места!$A:$A,0)),"?"))</f>
        <v/>
      </c>
      <c r="DO2" s="8" t="str">
        <f>IF(DO$3="","",IFERROR(INDEX(Места!$C:$C,MATCH(DO$3,Места!$A:$A,0)),"?"))</f>
        <v/>
      </c>
      <c r="DP2" s="8" t="str">
        <f>IF(DP$3="","",IFERROR(INDEX(Места!$C:$C,MATCH(DP$3,Места!$A:$A,0)),"?"))</f>
        <v/>
      </c>
      <c r="DQ2" s="8" t="str">
        <f>IF(DQ$3="","",IFERROR(INDEX(Места!$C:$C,MATCH(DQ$3,Места!$A:$A,0)),"?"))</f>
        <v/>
      </c>
      <c r="DR2" s="8" t="str">
        <f>IF(DR$3="","",IFERROR(INDEX(Места!$C:$C,MATCH(DR$3,Места!$A:$A,0)),"?"))</f>
        <v/>
      </c>
      <c r="DS2" s="8" t="str">
        <f>IF(DS$3="","",IFERROR(INDEX(Места!$C:$C,MATCH(DS$3,Места!$A:$A,0)),"?"))</f>
        <v/>
      </c>
      <c r="DT2" s="8" t="str">
        <f>IF(DT$3="","",IFERROR(INDEX(Места!$C:$C,MATCH(DT$3,Места!$A:$A,0)),"?"))</f>
        <v/>
      </c>
      <c r="DU2" s="8" t="str">
        <f>IF(DU$3="","",IFERROR(INDEX(Места!$C:$C,MATCH(DU$3,Места!$A:$A,0)),"?"))</f>
        <v/>
      </c>
      <c r="DV2" s="8" t="str">
        <f>IF(DV$3="","",IFERROR(INDEX(Места!$C:$C,MATCH(DV$3,Места!$A:$A,0)),"?"))</f>
        <v/>
      </c>
      <c r="DW2" s="8" t="str">
        <f>IF(DW$3="","",IFERROR(INDEX(Места!$C:$C,MATCH(DW$3,Места!$A:$A,0)),"?"))</f>
        <v/>
      </c>
      <c r="DX2" s="8" t="str">
        <f>IF(DX$3="","",IFERROR(INDEX(Места!$C:$C,MATCH(DX$3,Места!$A:$A,0)),"?"))</f>
        <v/>
      </c>
      <c r="DY2" s="8" t="str">
        <f>IF(DY$3="","",IFERROR(INDEX(Места!$C:$C,MATCH(DY$3,Места!$A:$A,0)),"?"))</f>
        <v/>
      </c>
      <c r="DZ2" s="8" t="str">
        <f>IF(DZ$3="","",IFERROR(INDEX(Места!$C:$C,MATCH(DZ$3,Места!$A:$A,0)),"?"))</f>
        <v/>
      </c>
    </row>
    <row r="3" spans="1:130" ht="30" customHeight="1" x14ac:dyDescent="0.35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26</v>
      </c>
      <c r="G3" s="9" t="s">
        <v>30</v>
      </c>
      <c r="H3" s="9" t="s">
        <v>31</v>
      </c>
      <c r="I3" s="9" t="s">
        <v>33</v>
      </c>
      <c r="J3" s="9" t="s">
        <v>34</v>
      </c>
      <c r="K3" s="9" t="s">
        <v>37</v>
      </c>
      <c r="L3" s="9" t="s">
        <v>38</v>
      </c>
      <c r="M3" s="9" t="s">
        <v>40</v>
      </c>
      <c r="N3" s="9" t="s">
        <v>42</v>
      </c>
      <c r="O3" s="9" t="s">
        <v>45</v>
      </c>
    </row>
    <row r="4" spans="1:130" x14ac:dyDescent="0.35">
      <c r="A4" s="10">
        <v>45688</v>
      </c>
      <c r="B4" s="11">
        <v>101</v>
      </c>
      <c r="C4" s="12">
        <v>1.04</v>
      </c>
      <c r="D4" s="13">
        <v>102000</v>
      </c>
      <c r="E4" s="14">
        <f t="shared" ref="E4:E9" si="0">IF(COUNTIF($F$2:$DZ$2,"?")&gt;0,"нет в «Места»",SUMPRODUCT($F4:$DZ4*(($F$2:$DZ$2="RUB")+($F$2:$DZ$2="USD")*$B4+($F$2:$DZ$2="EUR")*$C4*$B4+($F$2:$DZ$2="BTC")*$D4*$B4)))</f>
        <v>5427016</v>
      </c>
      <c r="F4" s="13">
        <v>420000</v>
      </c>
      <c r="G4" s="13">
        <v>85000</v>
      </c>
      <c r="H4" s="13">
        <v>3000</v>
      </c>
      <c r="I4" s="13">
        <v>60000</v>
      </c>
      <c r="J4" s="13">
        <v>50000</v>
      </c>
      <c r="K4" s="13">
        <v>1500</v>
      </c>
      <c r="L4" s="13">
        <v>400</v>
      </c>
      <c r="M4" s="12">
        <v>0.25</v>
      </c>
      <c r="N4" s="13">
        <v>1500000</v>
      </c>
      <c r="O4" s="13">
        <v>240000</v>
      </c>
    </row>
    <row r="5" spans="1:130" x14ac:dyDescent="0.35">
      <c r="A5" s="10">
        <v>45716</v>
      </c>
      <c r="B5" s="11">
        <v>98.5</v>
      </c>
      <c r="C5" s="12">
        <v>1.0355000000000001</v>
      </c>
      <c r="D5" s="13">
        <v>84000</v>
      </c>
      <c r="E5" s="14">
        <f t="shared" si="0"/>
        <v>4989988.7</v>
      </c>
      <c r="F5" s="13">
        <v>450000</v>
      </c>
      <c r="G5" s="13">
        <v>90000</v>
      </c>
      <c r="H5" s="13">
        <v>3200</v>
      </c>
      <c r="I5" s="13">
        <v>40000</v>
      </c>
      <c r="J5" s="13">
        <v>45000</v>
      </c>
      <c r="K5" s="13">
        <v>1500</v>
      </c>
      <c r="L5" s="13">
        <v>400</v>
      </c>
      <c r="M5" s="12">
        <v>0.26</v>
      </c>
      <c r="N5" s="13">
        <v>1500000</v>
      </c>
      <c r="O5" s="13">
        <v>210000</v>
      </c>
    </row>
    <row r="6" spans="1:130" x14ac:dyDescent="0.35">
      <c r="A6" s="10">
        <v>45747</v>
      </c>
      <c r="B6" s="11">
        <v>86</v>
      </c>
      <c r="C6" s="12">
        <v>1.081</v>
      </c>
      <c r="D6" s="13">
        <v>82500</v>
      </c>
      <c r="E6" s="14">
        <f t="shared" si="0"/>
        <v>4634111.4000000004</v>
      </c>
      <c r="F6" s="13">
        <v>380000</v>
      </c>
      <c r="G6" s="13">
        <v>70000</v>
      </c>
      <c r="H6" s="13">
        <v>3500</v>
      </c>
      <c r="I6" s="13">
        <v>0</v>
      </c>
      <c r="J6" s="13">
        <v>60000</v>
      </c>
      <c r="K6" s="13">
        <v>1800</v>
      </c>
      <c r="L6" s="13">
        <v>400</v>
      </c>
      <c r="M6" s="12">
        <v>0.27500000000000002</v>
      </c>
      <c r="N6" s="13">
        <v>1500000</v>
      </c>
      <c r="O6" s="13">
        <v>180000</v>
      </c>
    </row>
    <row r="7" spans="1:130" x14ac:dyDescent="0.35">
      <c r="A7" s="10">
        <v>45777</v>
      </c>
      <c r="B7" s="11">
        <v>84</v>
      </c>
      <c r="C7" s="12">
        <v>1.135</v>
      </c>
      <c r="D7" s="13">
        <v>94000</v>
      </c>
      <c r="E7" s="14">
        <f t="shared" si="0"/>
        <v>4835202</v>
      </c>
      <c r="F7" s="13">
        <v>410000</v>
      </c>
      <c r="G7" s="13">
        <v>75000</v>
      </c>
      <c r="H7" s="13">
        <v>3500</v>
      </c>
      <c r="I7" s="13">
        <v>0</v>
      </c>
      <c r="J7" s="13">
        <v>55000</v>
      </c>
      <c r="K7" s="13">
        <v>1800</v>
      </c>
      <c r="L7" s="13">
        <v>300</v>
      </c>
      <c r="M7" s="12">
        <v>0.27500000000000002</v>
      </c>
      <c r="N7" s="13">
        <v>1500000</v>
      </c>
      <c r="O7" s="13">
        <v>150000</v>
      </c>
    </row>
    <row r="8" spans="1:130" x14ac:dyDescent="0.35">
      <c r="A8" s="10">
        <v>45808</v>
      </c>
      <c r="B8" s="11">
        <v>80.5</v>
      </c>
      <c r="C8" s="12">
        <v>1.1279999999999999</v>
      </c>
      <c r="D8" s="13">
        <v>104000</v>
      </c>
      <c r="E8" s="14">
        <f t="shared" si="0"/>
        <v>5004201.2</v>
      </c>
      <c r="F8" s="13">
        <v>430000</v>
      </c>
      <c r="G8" s="13">
        <v>80000</v>
      </c>
      <c r="H8" s="13">
        <v>3600</v>
      </c>
      <c r="I8" s="13">
        <v>0</v>
      </c>
      <c r="J8" s="13">
        <v>52000</v>
      </c>
      <c r="K8" s="13">
        <v>2000</v>
      </c>
      <c r="L8" s="13">
        <v>300</v>
      </c>
      <c r="M8" s="12">
        <v>0.28000000000000003</v>
      </c>
      <c r="N8" s="13">
        <v>1500000</v>
      </c>
      <c r="O8" s="13">
        <v>120000</v>
      </c>
    </row>
    <row r="9" spans="1:130" x14ac:dyDescent="0.35">
      <c r="A9" s="10">
        <v>45838</v>
      </c>
      <c r="B9" s="11">
        <v>79</v>
      </c>
      <c r="C9" s="12">
        <v>1.1719999999999999</v>
      </c>
      <c r="D9" s="13">
        <v>107000</v>
      </c>
      <c r="E9" s="14">
        <f t="shared" si="0"/>
        <v>5098546.4000000004</v>
      </c>
      <c r="F9" s="13">
        <v>455000</v>
      </c>
      <c r="G9" s="13">
        <v>82000</v>
      </c>
      <c r="H9" s="13">
        <v>3600</v>
      </c>
      <c r="I9" s="13">
        <v>0</v>
      </c>
      <c r="J9" s="13">
        <v>50000</v>
      </c>
      <c r="K9" s="13">
        <v>2000</v>
      </c>
      <c r="L9" s="13">
        <v>300</v>
      </c>
      <c r="M9" s="12">
        <v>0.28999999999999998</v>
      </c>
      <c r="N9" s="13">
        <v>1500000</v>
      </c>
      <c r="O9" s="13">
        <v>90000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Как заполнять</vt:lpstr>
      <vt:lpstr>Места</vt:lpstr>
      <vt:lpstr>Срезы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2026-10-08T14:27:43Z</dcterms:created>
  <dcterms:modified xsi:type="dcterms:W3CDTF">2026-10-08T14:27:43Z</dcterms:modified>
</cp:coreProperties>
</file>