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Места" sheetId="2" state="visible" r:id="rId2"/>
    <sheet xmlns:r="http://schemas.openxmlformats.org/officeDocument/2006/relationships" name="Срез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0"/>
    <numFmt numFmtId="167" formatCode="#,##0&quot; ₽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pivotButton="0" quotePrefix="0" xfId="0"/>
    <xf numFmtId="0" fontId="5" fillId="3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165" fontId="5" fillId="3" borderId="0" pivotButton="0" quotePrefix="0" xfId="0"/>
    <xf numFmtId="4" fontId="5" fillId="3" borderId="0" pivotButton="0" quotePrefix="0" xfId="0"/>
    <xf numFmtId="166" fontId="5" fillId="3" borderId="0" pivotButton="0" quotePrefix="0" xfId="0"/>
    <xf numFmtId="3" fontId="5" fillId="3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quietfault</author>
  </authors>
  <commentList>
    <comment ref="E3" authorId="0" shapeId="0">
      <text>
        <t>В шаблоне — формула для образца. В вашем файле здесь итог, который считает ваш Excel: приложение сверит с ним свой.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Шаблон импорта истории в «Срез»</t>
        </is>
      </c>
    </row>
    <row r="2">
      <c r="A2" s="2" t="inlineStr">
        <is>
          <t>Все числа в этом файле выдуманные — это образец формата, а не данные.</t>
        </is>
      </c>
    </row>
    <row r="3"/>
    <row r="4">
      <c r="A4" s="3" t="inlineStr">
        <is>
          <t>Два листа — это договор с приложением. Приложение читает только их.</t>
        </is>
      </c>
    </row>
    <row r="5"/>
    <row r="6">
      <c r="A6" s="4" t="inlineStr">
        <is>
          <t>«Места» — справочник: одна строка на каждое место, где лежат или лежали деньги.</t>
        </is>
      </c>
    </row>
    <row r="7">
      <c r="A7" s="4" t="inlineStr">
        <is>
          <t xml:space="preserve">   Место — точное имя, как в заголовке колонки на листе «Срезы».</t>
        </is>
      </c>
    </row>
    <row r="8">
      <c r="A8" s="4" t="inlineStr">
        <is>
          <t xml:space="preserve">   Категория — любой текст. Новая категория появится в приложении сама.</t>
        </is>
      </c>
    </row>
    <row r="9">
      <c r="A9" s="4" t="inlineStr">
        <is>
          <t xml:space="preserve">   Валюта — RUB, USD, EUR или BTC. USDT записывается как USD (один курс).</t>
        </is>
      </c>
    </row>
    <row r="10">
      <c r="A10" s="4" t="inlineStr">
        <is>
          <t xml:space="preserve">   Форма — нал, безнал или «—» для активов и стока.</t>
        </is>
      </c>
    </row>
    <row r="11"/>
    <row r="12">
      <c r="A12" s="4" t="inlineStr">
        <is>
          <t>«Срезы» — одна строка на дату, как главная вкладка.</t>
        </is>
      </c>
    </row>
    <row r="13">
      <c r="A13" s="4" t="inlineStr">
        <is>
          <t xml:space="preserve">   Дата — дата среза. Один срез в месяц: две строки в одном месяце приложение отклонит.</t>
        </is>
      </c>
    </row>
    <row r="14">
      <c r="A14" s="4" t="inlineStr">
        <is>
          <t xml:space="preserve">   USDT/RUB — курс USDT на P2P. По нему же пересчитываются USD.</t>
        </is>
      </c>
    </row>
    <row r="15">
      <c r="A15" s="4" t="inlineStr">
        <is>
          <t xml:space="preserve">   EUR/USD — курс евро к доллару (ЕЦБ). Евро в рубли идёт через доллар: EUR/USD × USDT/RUB.</t>
        </is>
      </c>
    </row>
    <row r="16">
      <c r="A16" s="4" t="inlineStr">
        <is>
          <t xml:space="preserve">   BTC/USD — цена биткоина в долларах.</t>
        </is>
      </c>
    </row>
    <row r="17">
      <c r="A17" s="4" t="inlineStr">
        <is>
          <t xml:space="preserve">   Итог ₽ — итог по вашему Excel. Приложение посчитает свой и покажет строки, где они разошлись.</t>
        </is>
      </c>
    </row>
    <row r="18">
      <c r="A18" s="4" t="inlineStr">
        <is>
          <t xml:space="preserve">   Дальше — колонки мест, сколько угодно, в валюте места. Новое место — новая колонка справа</t>
        </is>
      </c>
    </row>
    <row r="19">
      <c r="A19" s="4" t="inlineStr">
        <is>
          <t xml:space="preserve">   плюс строка на листе «Места». Место закрылось — ставьте 0, колонку не удаляйте.</t>
        </is>
      </c>
    </row>
    <row r="20"/>
    <row r="21">
      <c r="A21" s="4" t="inlineStr">
        <is>
          <t>Строка 2 на «Срезах» серая — она считается сама и показывает валюту колонки.</t>
        </is>
      </c>
    </row>
    <row r="22">
      <c r="A22" s="4" t="inlineStr">
        <is>
          <t>Знак «?» в ней значит, что имени колонки нет в «Местах».</t>
        </is>
      </c>
    </row>
    <row r="23"/>
    <row r="24">
      <c r="A24" s="3" t="inlineStr">
        <is>
          <t>Пересчёт в рубли:</t>
        </is>
      </c>
    </row>
    <row r="25">
      <c r="A25" s="4" t="inlineStr">
        <is>
          <t xml:space="preserve">   RUB × 1 · USD × USDT/RUB · EUR × EUR/USD × USDT/RUB · BTC × BTC/USD × USDT/RUB</t>
        </is>
      </c>
    </row>
    <row r="26"/>
    <row r="27">
      <c r="A27" s="4" t="inlineStr">
        <is>
          <t>Цвета: синий текст на жёлтом — то, что вы вводите; чёрный — формулы.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0" customWidth="1" min="3" max="3"/>
    <col width="10" customWidth="1" min="4" max="4"/>
  </cols>
  <sheetData>
    <row r="1">
      <c r="A1" s="5" t="inlineStr">
        <is>
          <t>Место</t>
        </is>
      </c>
      <c r="B1" s="5" t="inlineStr">
        <is>
          <t>Категория</t>
        </is>
      </c>
      <c r="C1" s="5" t="inlineStr">
        <is>
          <t>Валюта</t>
        </is>
      </c>
      <c r="D1" s="5" t="inlineStr">
        <is>
          <t>Форма</t>
        </is>
      </c>
    </row>
    <row r="2">
      <c r="A2" s="6" t="inlineStr">
        <is>
          <t>Сбер</t>
        </is>
      </c>
      <c r="B2" s="6" t="inlineStr">
        <is>
          <t>Банки</t>
        </is>
      </c>
      <c r="C2" s="6" t="inlineStr">
        <is>
          <t>RUB</t>
        </is>
      </c>
      <c r="D2" s="6" t="inlineStr">
        <is>
          <t>безнал</t>
        </is>
      </c>
    </row>
    <row r="3">
      <c r="A3" s="6" t="inlineStr">
        <is>
          <t>Тинькофф</t>
        </is>
      </c>
      <c r="B3" s="6" t="inlineStr">
        <is>
          <t>Банки</t>
        </is>
      </c>
      <c r="C3" s="6" t="inlineStr">
        <is>
          <t>RUB</t>
        </is>
      </c>
      <c r="D3" s="6" t="inlineStr">
        <is>
          <t>безнал</t>
        </is>
      </c>
    </row>
    <row r="4">
      <c r="A4" s="6" t="inlineStr">
        <is>
          <t>Тинькофф USD</t>
        </is>
      </c>
      <c r="B4" s="6" t="inlineStr">
        <is>
          <t>Банки</t>
        </is>
      </c>
      <c r="C4" s="6" t="inlineStr">
        <is>
          <t>USD</t>
        </is>
      </c>
      <c r="D4" s="6" t="inlineStr">
        <is>
          <t>безнал</t>
        </is>
      </c>
    </row>
    <row r="5">
      <c r="A5" s="6" t="inlineStr">
        <is>
          <t>Альфа</t>
        </is>
      </c>
      <c r="B5" s="6" t="inlineStr">
        <is>
          <t>Банки</t>
        </is>
      </c>
      <c r="C5" s="6" t="inlineStr">
        <is>
          <t>RUB</t>
        </is>
      </c>
      <c r="D5" s="6" t="inlineStr">
        <is>
          <t>безнал</t>
        </is>
      </c>
    </row>
    <row r="6">
      <c r="A6" s="6" t="inlineStr">
        <is>
          <t>Налик ₽</t>
        </is>
      </c>
      <c r="B6" s="6" t="inlineStr">
        <is>
          <t>Наличные</t>
        </is>
      </c>
      <c r="C6" s="6" t="inlineStr">
        <is>
          <t>RUB</t>
        </is>
      </c>
      <c r="D6" s="6" t="inlineStr">
        <is>
          <t>нал</t>
        </is>
      </c>
    </row>
    <row r="7">
      <c r="A7" s="6" t="inlineStr">
        <is>
          <t>Налик $</t>
        </is>
      </c>
      <c r="B7" s="6" t="inlineStr">
        <is>
          <t>Наличные</t>
        </is>
      </c>
      <c r="C7" s="6" t="inlineStr">
        <is>
          <t>USD</t>
        </is>
      </c>
      <c r="D7" s="6" t="inlineStr">
        <is>
          <t>нал</t>
        </is>
      </c>
    </row>
    <row r="8">
      <c r="A8" s="6" t="inlineStr">
        <is>
          <t>Налик €</t>
        </is>
      </c>
      <c r="B8" s="6" t="inlineStr">
        <is>
          <t>Наличные</t>
        </is>
      </c>
      <c r="C8" s="6" t="inlineStr">
        <is>
          <t>EUR</t>
        </is>
      </c>
      <c r="D8" s="6" t="inlineStr">
        <is>
          <t>нал</t>
        </is>
      </c>
    </row>
    <row r="9">
      <c r="A9" s="6" t="inlineStr">
        <is>
          <t>Крипта</t>
        </is>
      </c>
      <c r="B9" s="6" t="inlineStr">
        <is>
          <t>Крипта</t>
        </is>
      </c>
      <c r="C9" s="6" t="inlineStr">
        <is>
          <t>BTC</t>
        </is>
      </c>
      <c r="D9" s="6" t="inlineStr">
        <is>
          <t>безнал</t>
        </is>
      </c>
    </row>
    <row r="10">
      <c r="A10" s="6" t="inlineStr">
        <is>
          <t>Машиноместо</t>
        </is>
      </c>
      <c r="B10" s="6" t="inlineStr">
        <is>
          <t>Активы</t>
        </is>
      </c>
      <c r="C10" s="6" t="inlineStr">
        <is>
          <t>RUB</t>
        </is>
      </c>
      <c r="D10" s="6" t="inlineStr">
        <is>
          <t>—</t>
        </is>
      </c>
    </row>
    <row r="11">
      <c r="A11" s="6" t="inlineStr">
        <is>
          <t>Кроссовки</t>
        </is>
      </c>
      <c r="B11" s="6" t="inlineStr">
        <is>
          <t>Сток</t>
        </is>
      </c>
      <c r="C11" s="6" t="inlineStr">
        <is>
          <t>RUB</t>
        </is>
      </c>
      <c r="D11" s="6" t="inlineStr">
        <is>
          <t>—</t>
        </is>
      </c>
    </row>
  </sheetData>
  <dataValidations count="2">
    <dataValidation sqref="C2:C200" showDropDown="0" showInputMessage="0" showErrorMessage="0" allowBlank="1" type="list">
      <formula1>"RUB,USD,EUR,BTC"</formula1>
    </dataValidation>
    <dataValidation sqref="D2:D200" showDropDown="0" showInputMessage="0" showErrorMessage="0" allowBlank="1" type="list">
      <formula1>"нал,безнал,—"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9"/>
  <sheetViews>
    <sheetView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Срезы — одна строка на дату</t>
        </is>
      </c>
    </row>
    <row r="2">
      <c r="E2" s="7" t="inlineStr">
        <is>
          <t>валюта →</t>
        </is>
      </c>
      <c r="F2" s="8">
        <f>IF(F$3="","",IFERROR(INDEX(Места!$C:$C,MATCH(F$3,Места!$A:$A,0)),"?"))</f>
        <v/>
      </c>
      <c r="G2" s="8">
        <f>IF(G$3="","",IFERROR(INDEX(Места!$C:$C,MATCH(G$3,Места!$A:$A,0)),"?"))</f>
        <v/>
      </c>
      <c r="H2" s="8">
        <f>IF(H$3="","",IFERROR(INDEX(Места!$C:$C,MATCH(H$3,Места!$A:$A,0)),"?"))</f>
        <v/>
      </c>
      <c r="I2" s="8">
        <f>IF(I$3="","",IFERROR(INDEX(Места!$C:$C,MATCH(I$3,Места!$A:$A,0)),"?"))</f>
        <v/>
      </c>
      <c r="J2" s="8">
        <f>IF(J$3="","",IFERROR(INDEX(Места!$C:$C,MATCH(J$3,Места!$A:$A,0)),"?"))</f>
        <v/>
      </c>
      <c r="K2" s="8">
        <f>IF(K$3="","",IFERROR(INDEX(Места!$C:$C,MATCH(K$3,Места!$A:$A,0)),"?"))</f>
        <v/>
      </c>
      <c r="L2" s="8">
        <f>IF(L$3="","",IFERROR(INDEX(Места!$C:$C,MATCH(L$3,Места!$A:$A,0)),"?"))</f>
        <v/>
      </c>
      <c r="M2" s="8">
        <f>IF(M$3="","",IFERROR(INDEX(Места!$C:$C,MATCH(M$3,Места!$A:$A,0)),"?"))</f>
        <v/>
      </c>
      <c r="N2" s="8">
        <f>IF(N$3="","",IFERROR(INDEX(Места!$C:$C,MATCH(N$3,Места!$A:$A,0)),"?"))</f>
        <v/>
      </c>
      <c r="O2" s="8">
        <f>IF(O$3="","",IFERROR(INDEX(Места!$C:$C,MATCH(O$3,Места!$A:$A,0)),"?"))</f>
        <v/>
      </c>
      <c r="P2" s="8">
        <f>IF(P$3="","",IFERROR(INDEX(Места!$C:$C,MATCH(P$3,Места!$A:$A,0)),"?"))</f>
        <v/>
      </c>
      <c r="Q2" s="8">
        <f>IF(Q$3="","",IFERROR(INDEX(Места!$C:$C,MATCH(Q$3,Места!$A:$A,0)),"?"))</f>
        <v/>
      </c>
      <c r="R2" s="8">
        <f>IF(R$3="","",IFERROR(INDEX(Места!$C:$C,MATCH(R$3,Места!$A:$A,0)),"?"))</f>
        <v/>
      </c>
      <c r="S2" s="8">
        <f>IF(S$3="","",IFERROR(INDEX(Места!$C:$C,MATCH(S$3,Места!$A:$A,0)),"?"))</f>
        <v/>
      </c>
      <c r="T2" s="8">
        <f>IF(T$3="","",IFERROR(INDEX(Места!$C:$C,MATCH(T$3,Места!$A:$A,0)),"?"))</f>
        <v/>
      </c>
      <c r="U2" s="8">
        <f>IF(U$3="","",IFERROR(INDEX(Места!$C:$C,MATCH(U$3,Места!$A:$A,0)),"?"))</f>
        <v/>
      </c>
      <c r="V2" s="8">
        <f>IF(V$3="","",IFERROR(INDEX(Места!$C:$C,MATCH(V$3,Места!$A:$A,0)),"?"))</f>
        <v/>
      </c>
      <c r="W2" s="8">
        <f>IF(W$3="","",IFERROR(INDEX(Места!$C:$C,MATCH(W$3,Места!$A:$A,0)),"?"))</f>
        <v/>
      </c>
      <c r="X2" s="8">
        <f>IF(X$3="","",IFERROR(INDEX(Места!$C:$C,MATCH(X$3,Места!$A:$A,0)),"?"))</f>
        <v/>
      </c>
      <c r="Y2" s="8">
        <f>IF(Y$3="","",IFERROR(INDEX(Места!$C:$C,MATCH(Y$3,Места!$A:$A,0)),"?"))</f>
        <v/>
      </c>
      <c r="Z2" s="8">
        <f>IF(Z$3="","",IFERROR(INDEX(Места!$C:$C,MATCH(Z$3,Места!$A:$A,0)),"?"))</f>
        <v/>
      </c>
      <c r="AA2" s="8">
        <f>IF(AA$3="","",IFERROR(INDEX(Места!$C:$C,MATCH(AA$3,Места!$A:$A,0)),"?"))</f>
        <v/>
      </c>
      <c r="AB2" s="8">
        <f>IF(AB$3="","",IFERROR(INDEX(Места!$C:$C,MATCH(AB$3,Места!$A:$A,0)),"?"))</f>
        <v/>
      </c>
      <c r="AC2" s="8">
        <f>IF(AC$3="","",IFERROR(INDEX(Места!$C:$C,MATCH(AC$3,Места!$A:$A,0)),"?"))</f>
        <v/>
      </c>
      <c r="AD2" s="8">
        <f>IF(AD$3="","",IFERROR(INDEX(Места!$C:$C,MATCH(AD$3,Места!$A:$A,0)),"?"))</f>
        <v/>
      </c>
      <c r="AE2" s="8">
        <f>IF(AE$3="","",IFERROR(INDEX(Места!$C:$C,MATCH(AE$3,Места!$A:$A,0)),"?"))</f>
        <v/>
      </c>
      <c r="AF2" s="8">
        <f>IF(AF$3="","",IFERROR(INDEX(Места!$C:$C,MATCH(AF$3,Места!$A:$A,0)),"?"))</f>
        <v/>
      </c>
      <c r="AG2" s="8">
        <f>IF(AG$3="","",IFERROR(INDEX(Места!$C:$C,MATCH(AG$3,Места!$A:$A,0)),"?"))</f>
        <v/>
      </c>
      <c r="AH2" s="8">
        <f>IF(AH$3="","",IFERROR(INDEX(Места!$C:$C,MATCH(AH$3,Места!$A:$A,0)),"?"))</f>
        <v/>
      </c>
      <c r="AI2" s="8">
        <f>IF(AI$3="","",IFERROR(INDEX(Места!$C:$C,MATCH(AI$3,Места!$A:$A,0)),"?"))</f>
        <v/>
      </c>
      <c r="AJ2" s="8">
        <f>IF(AJ$3="","",IFERROR(INDEX(Места!$C:$C,MATCH(AJ$3,Места!$A:$A,0)),"?"))</f>
        <v/>
      </c>
      <c r="AK2" s="8">
        <f>IF(AK$3="","",IFERROR(INDEX(Места!$C:$C,MATCH(AK$3,Места!$A:$A,0)),"?"))</f>
        <v/>
      </c>
      <c r="AL2" s="8">
        <f>IF(AL$3="","",IFERROR(INDEX(Места!$C:$C,MATCH(AL$3,Места!$A:$A,0)),"?"))</f>
        <v/>
      </c>
      <c r="AM2" s="8">
        <f>IF(AM$3="","",IFERROR(INDEX(Места!$C:$C,MATCH(AM$3,Места!$A:$A,0)),"?"))</f>
        <v/>
      </c>
      <c r="AN2" s="8">
        <f>IF(AN$3="","",IFERROR(INDEX(Места!$C:$C,MATCH(AN$3,Места!$A:$A,0)),"?"))</f>
        <v/>
      </c>
      <c r="AO2" s="8">
        <f>IF(AO$3="","",IFERROR(INDEX(Места!$C:$C,MATCH(AO$3,Места!$A:$A,0)),"?"))</f>
        <v/>
      </c>
      <c r="AP2" s="8">
        <f>IF(AP$3="","",IFERROR(INDEX(Места!$C:$C,MATCH(AP$3,Места!$A:$A,0)),"?"))</f>
        <v/>
      </c>
      <c r="AQ2" s="8">
        <f>IF(AQ$3="","",IFERROR(INDEX(Места!$C:$C,MATCH(AQ$3,Места!$A:$A,0)),"?"))</f>
        <v/>
      </c>
      <c r="AR2" s="8">
        <f>IF(AR$3="","",IFERROR(INDEX(Места!$C:$C,MATCH(AR$3,Места!$A:$A,0)),"?"))</f>
        <v/>
      </c>
      <c r="AS2" s="8">
        <f>IF(AS$3="","",IFERROR(INDEX(Места!$C:$C,MATCH(AS$3,Места!$A:$A,0)),"?"))</f>
        <v/>
      </c>
      <c r="AT2" s="8">
        <f>IF(AT$3="","",IFERROR(INDEX(Места!$C:$C,MATCH(AT$3,Места!$A:$A,0)),"?"))</f>
        <v/>
      </c>
      <c r="AU2" s="8">
        <f>IF(AU$3="","",IFERROR(INDEX(Места!$C:$C,MATCH(AU$3,Места!$A:$A,0)),"?"))</f>
        <v/>
      </c>
      <c r="AV2" s="8">
        <f>IF(AV$3="","",IFERROR(INDEX(Места!$C:$C,MATCH(AV$3,Места!$A:$A,0)),"?"))</f>
        <v/>
      </c>
      <c r="AW2" s="8">
        <f>IF(AW$3="","",IFERROR(INDEX(Места!$C:$C,MATCH(AW$3,Места!$A:$A,0)),"?"))</f>
        <v/>
      </c>
      <c r="AX2" s="8">
        <f>IF(AX$3="","",IFERROR(INDEX(Места!$C:$C,MATCH(AX$3,Места!$A:$A,0)),"?"))</f>
        <v/>
      </c>
      <c r="AY2" s="8">
        <f>IF(AY$3="","",IFERROR(INDEX(Места!$C:$C,MATCH(AY$3,Места!$A:$A,0)),"?"))</f>
        <v/>
      </c>
      <c r="AZ2" s="8">
        <f>IF(AZ$3="","",IFERROR(INDEX(Места!$C:$C,MATCH(AZ$3,Места!$A:$A,0)),"?"))</f>
        <v/>
      </c>
    </row>
    <row r="3" ht="30" customHeight="1">
      <c r="A3" s="9" t="inlineStr">
        <is>
          <t>Дата</t>
        </is>
      </c>
      <c r="B3" s="9" t="inlineStr">
        <is>
          <t>USDT/RUB</t>
        </is>
      </c>
      <c r="C3" s="9" t="inlineStr">
        <is>
          <t>EUR/USD</t>
        </is>
      </c>
      <c r="D3" s="9" t="inlineStr">
        <is>
          <t>BTC/USD</t>
        </is>
      </c>
      <c r="E3" s="9" t="inlineStr">
        <is>
          <t>Итог ₽</t>
        </is>
      </c>
      <c r="F3" s="9" t="inlineStr">
        <is>
          <t>Сбер</t>
        </is>
      </c>
      <c r="G3" s="9" t="inlineStr">
        <is>
          <t>Тинькофф</t>
        </is>
      </c>
      <c r="H3" s="9" t="inlineStr">
        <is>
          <t>Тинькофф USD</t>
        </is>
      </c>
      <c r="I3" s="9" t="inlineStr">
        <is>
          <t>Альфа</t>
        </is>
      </c>
      <c r="J3" s="9" t="inlineStr">
        <is>
          <t>Налик ₽</t>
        </is>
      </c>
      <c r="K3" s="9" t="inlineStr">
        <is>
          <t>Налик $</t>
        </is>
      </c>
      <c r="L3" s="9" t="inlineStr">
        <is>
          <t>Налик €</t>
        </is>
      </c>
      <c r="M3" s="9" t="inlineStr">
        <is>
          <t>Крипта</t>
        </is>
      </c>
      <c r="N3" s="9" t="inlineStr">
        <is>
          <t>Машиноместо</t>
        </is>
      </c>
      <c r="O3" s="9" t="inlineStr">
        <is>
          <t>Кроссовки</t>
        </is>
      </c>
    </row>
    <row r="4">
      <c r="A4" s="10" t="n">
        <v>45688</v>
      </c>
      <c r="B4" s="11" t="n">
        <v>101</v>
      </c>
      <c r="C4" s="12" t="n">
        <v>1.04</v>
      </c>
      <c r="D4" s="13" t="n">
        <v>102000</v>
      </c>
      <c r="E4" s="14">
        <f>IF(COUNTIF($F$2:$AZ$2,"?")&gt;0,"нет в «Места»",SUMPRODUCT($F4:$AZ4*(($F$2:$AZ$2="RUB")+($F$2:$AZ$2="USD")*$B4+($F$2:$AZ$2="EUR")*$C4*$B4+($F$2:$AZ$2="BTC")*$D4*$B4)))</f>
        <v/>
      </c>
      <c r="F4" s="13" t="n">
        <v>420000</v>
      </c>
      <c r="G4" s="13" t="n">
        <v>85000</v>
      </c>
      <c r="H4" s="13" t="n">
        <v>3000</v>
      </c>
      <c r="I4" s="13" t="n">
        <v>60000</v>
      </c>
      <c r="J4" s="13" t="n">
        <v>50000</v>
      </c>
      <c r="K4" s="13" t="n">
        <v>1500</v>
      </c>
      <c r="L4" s="13" t="n">
        <v>400</v>
      </c>
      <c r="M4" s="12" t="n">
        <v>0.25</v>
      </c>
      <c r="N4" s="13" t="n">
        <v>1500000</v>
      </c>
      <c r="O4" s="13" t="n">
        <v>240000</v>
      </c>
    </row>
    <row r="5">
      <c r="A5" s="10" t="n">
        <v>45716</v>
      </c>
      <c r="B5" s="11" t="n">
        <v>98.5</v>
      </c>
      <c r="C5" s="12" t="n">
        <v>1.0355</v>
      </c>
      <c r="D5" s="13" t="n">
        <v>84000</v>
      </c>
      <c r="E5" s="14">
        <f>IF(COUNTIF($F$2:$AZ$2,"?")&gt;0,"нет в «Места»",SUMPRODUCT($F5:$AZ5*(($F$2:$AZ$2="RUB")+($F$2:$AZ$2="USD")*$B5+($F$2:$AZ$2="EUR")*$C5*$B5+($F$2:$AZ$2="BTC")*$D5*$B5)))</f>
        <v/>
      </c>
      <c r="F5" s="13" t="n">
        <v>450000</v>
      </c>
      <c r="G5" s="13" t="n">
        <v>90000</v>
      </c>
      <c r="H5" s="13" t="n">
        <v>3200</v>
      </c>
      <c r="I5" s="13" t="n">
        <v>40000</v>
      </c>
      <c r="J5" s="13" t="n">
        <v>45000</v>
      </c>
      <c r="K5" s="13" t="n">
        <v>1500</v>
      </c>
      <c r="L5" s="13" t="n">
        <v>400</v>
      </c>
      <c r="M5" s="12" t="n">
        <v>0.26</v>
      </c>
      <c r="N5" s="13" t="n">
        <v>1500000</v>
      </c>
      <c r="O5" s="13" t="n">
        <v>210000</v>
      </c>
    </row>
    <row r="6">
      <c r="A6" s="10" t="n">
        <v>45747</v>
      </c>
      <c r="B6" s="11" t="n">
        <v>86</v>
      </c>
      <c r="C6" s="12" t="n">
        <v>1.081</v>
      </c>
      <c r="D6" s="13" t="n">
        <v>82500</v>
      </c>
      <c r="E6" s="14">
        <f>IF(COUNTIF($F$2:$AZ$2,"?")&gt;0,"нет в «Места»",SUMPRODUCT($F6:$AZ6*(($F$2:$AZ$2="RUB")+($F$2:$AZ$2="USD")*$B6+($F$2:$AZ$2="EUR")*$C6*$B6+($F$2:$AZ$2="BTC")*$D6*$B6)))</f>
        <v/>
      </c>
      <c r="F6" s="13" t="n">
        <v>380000</v>
      </c>
      <c r="G6" s="13" t="n">
        <v>70000</v>
      </c>
      <c r="H6" s="13" t="n">
        <v>3500</v>
      </c>
      <c r="I6" s="13" t="n">
        <v>0</v>
      </c>
      <c r="J6" s="13" t="n">
        <v>60000</v>
      </c>
      <c r="K6" s="13" t="n">
        <v>1800</v>
      </c>
      <c r="L6" s="13" t="n">
        <v>400</v>
      </c>
      <c r="M6" s="12" t="n">
        <v>0.275</v>
      </c>
      <c r="N6" s="13" t="n">
        <v>1500000</v>
      </c>
      <c r="O6" s="13" t="n">
        <v>180000</v>
      </c>
    </row>
    <row r="7">
      <c r="A7" s="10" t="n">
        <v>45777</v>
      </c>
      <c r="B7" s="11" t="n">
        <v>84</v>
      </c>
      <c r="C7" s="12" t="n">
        <v>1.135</v>
      </c>
      <c r="D7" s="13" t="n">
        <v>94000</v>
      </c>
      <c r="E7" s="14">
        <f>IF(COUNTIF($F$2:$AZ$2,"?")&gt;0,"нет в «Места»",SUMPRODUCT($F7:$AZ7*(($F$2:$AZ$2="RUB")+($F$2:$AZ$2="USD")*$B7+($F$2:$AZ$2="EUR")*$C7*$B7+($F$2:$AZ$2="BTC")*$D7*$B7)))</f>
        <v/>
      </c>
      <c r="F7" s="13" t="n">
        <v>410000</v>
      </c>
      <c r="G7" s="13" t="n">
        <v>75000</v>
      </c>
      <c r="H7" s="13" t="n">
        <v>3500</v>
      </c>
      <c r="I7" s="13" t="n">
        <v>0</v>
      </c>
      <c r="J7" s="13" t="n">
        <v>55000</v>
      </c>
      <c r="K7" s="13" t="n">
        <v>1800</v>
      </c>
      <c r="L7" s="13" t="n">
        <v>300</v>
      </c>
      <c r="M7" s="12" t="n">
        <v>0.275</v>
      </c>
      <c r="N7" s="13" t="n">
        <v>1500000</v>
      </c>
      <c r="O7" s="13" t="n">
        <v>150000</v>
      </c>
    </row>
    <row r="8">
      <c r="A8" s="10" t="n">
        <v>45808</v>
      </c>
      <c r="B8" s="11" t="n">
        <v>80.5</v>
      </c>
      <c r="C8" s="12" t="n">
        <v>1.128</v>
      </c>
      <c r="D8" s="13" t="n">
        <v>104000</v>
      </c>
      <c r="E8" s="14">
        <f>IF(COUNTIF($F$2:$AZ$2,"?")&gt;0,"нет в «Места»",SUMPRODUCT($F8:$AZ8*(($F$2:$AZ$2="RUB")+($F$2:$AZ$2="USD")*$B8+($F$2:$AZ$2="EUR")*$C8*$B8+($F$2:$AZ$2="BTC")*$D8*$B8)))</f>
        <v/>
      </c>
      <c r="F8" s="13" t="n">
        <v>430000</v>
      </c>
      <c r="G8" s="13" t="n">
        <v>80000</v>
      </c>
      <c r="H8" s="13" t="n">
        <v>3600</v>
      </c>
      <c r="I8" s="13" t="n">
        <v>0</v>
      </c>
      <c r="J8" s="13" t="n">
        <v>52000</v>
      </c>
      <c r="K8" s="13" t="n">
        <v>2000</v>
      </c>
      <c r="L8" s="13" t="n">
        <v>300</v>
      </c>
      <c r="M8" s="12" t="n">
        <v>0.28</v>
      </c>
      <c r="N8" s="13" t="n">
        <v>1500000</v>
      </c>
      <c r="O8" s="13" t="n">
        <v>120000</v>
      </c>
    </row>
    <row r="9">
      <c r="A9" s="10" t="n">
        <v>45838</v>
      </c>
      <c r="B9" s="11" t="n">
        <v>79</v>
      </c>
      <c r="C9" s="12" t="n">
        <v>1.172</v>
      </c>
      <c r="D9" s="13" t="n">
        <v>107000</v>
      </c>
      <c r="E9" s="14">
        <f>IF(COUNTIF($F$2:$AZ$2,"?")&gt;0,"нет в «Места»",SUMPRODUCT($F9:$AZ9*(($F$2:$AZ$2="RUB")+($F$2:$AZ$2="USD")*$B9+($F$2:$AZ$2="EUR")*$C9*$B9+($F$2:$AZ$2="BTC")*$D9*$B9)))</f>
        <v/>
      </c>
      <c r="F9" s="13" t="n">
        <v>455000</v>
      </c>
      <c r="G9" s="13" t="n">
        <v>82000</v>
      </c>
      <c r="H9" s="13" t="n">
        <v>3600</v>
      </c>
      <c r="I9" s="13" t="n">
        <v>0</v>
      </c>
      <c r="J9" s="13" t="n">
        <v>50000</v>
      </c>
      <c r="K9" s="13" t="n">
        <v>2000</v>
      </c>
      <c r="L9" s="13" t="n">
        <v>300</v>
      </c>
      <c r="M9" s="12" t="n">
        <v>0.29</v>
      </c>
      <c r="N9" s="13" t="n">
        <v>1500000</v>
      </c>
      <c r="O9" s="13" t="n">
        <v>90000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2026-10-08T11:09:28Z</dcterms:created>
  <dcterms:modified xmlns:dcterms="http://purl.org/dc/terms/" xmlns:xsi="http://www.w3.org/2001/XMLSchema-instance" xsi:type="dcterms:W3CDTF">2026-10-08T11:09:28Z</dcterms:modified>
</cp:coreProperties>
</file>